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TUF\local_multimodal_ai_agent_project\evaluation\"/>
    </mc:Choice>
  </mc:AlternateContent>
  <bookViews>
    <workbookView xWindow="0" yWindow="0" windowWidth="22605" windowHeight="7965" activeTab="1"/>
  </bookViews>
  <sheets>
    <sheet name="Test Cases" sheetId="2" r:id="rId1"/>
    <sheet name="Results" sheetId="3" r:id="rId2"/>
    <sheet name="Config Comparison" sheetId="4" r:id="rId3"/>
  </sheets>
  <calcPr calcId="0"/>
</workbook>
</file>

<file path=xl/sharedStrings.xml><?xml version="1.0" encoding="utf-8"?>
<sst xmlns="http://schemas.openxmlformats.org/spreadsheetml/2006/main" count="170" uniqueCount="69">
  <si>
    <t>B_balanced</t>
  </si>
  <si>
    <t>config</t>
  </si>
  <si>
    <t>avg_precision</t>
  </si>
  <si>
    <t>avg_recall</t>
  </si>
  <si>
    <t>tool_success</t>
  </si>
  <si>
    <t>A_under_context</t>
  </si>
  <si>
    <t>C_noisy_context</t>
  </si>
  <si>
    <t>id</t>
  </si>
  <si>
    <t>file</t>
  </si>
  <si>
    <t>query</t>
  </si>
  <si>
    <t>expected_tool</t>
  </si>
  <si>
    <t>expected_result</t>
  </si>
  <si>
    <t>relevant_chunks_total</t>
  </si>
  <si>
    <t>T1</t>
  </si>
  <si>
    <t>lecture_ai_agent.txt</t>
  </si>
  <si>
    <t>Какво е RAG?</t>
  </si>
  <si>
    <t>vector_search</t>
  </si>
  <si>
    <t>RAG комбинира retrieval и generation, като отговорът се базира на намерен контекст.</t>
  </si>
  <si>
    <t>2</t>
  </si>
  <si>
    <t>T2</t>
  </si>
  <si>
    <t>Какви tools използва агентът?</t>
  </si>
  <si>
    <t>OCR, file parsing, vector search, Python analysis.</t>
  </si>
  <si>
    <t>3</t>
  </si>
  <si>
    <t>T3</t>
  </si>
  <si>
    <t>sample_invoice.png</t>
  </si>
  <si>
    <t>Извлечи сумата и опиши документа.</t>
  </si>
  <si>
    <t>ocr</t>
  </si>
  <si>
    <t>1</t>
  </si>
  <si>
    <t>T4</t>
  </si>
  <si>
    <t>rag_diagram.png</t>
  </si>
  <si>
    <t>Опиши архитектурата на системата.</t>
  </si>
  <si>
    <t>vision</t>
  </si>
  <si>
    <t>Upload, processing, embeddings, vector store, AI agent, final answer.</t>
  </si>
  <si>
    <t>T5</t>
  </si>
  <si>
    <t>Какъв е основният извод за локалното изпълнение?</t>
  </si>
  <si>
    <t>Локалното изпълнение пази данните, но е по-бавно и изисква ресурси.</t>
  </si>
  <si>
    <t>test_id</t>
  </si>
  <si>
    <t>actual_tool</t>
  </si>
  <si>
    <t>chunk_size</t>
  </si>
  <si>
    <t>top_k</t>
  </si>
  <si>
    <t>precision_at_k</t>
  </si>
  <si>
    <t>recall_at_k</t>
  </si>
  <si>
    <t>human_score_1_5</t>
  </si>
  <si>
    <t>response_time_sec</t>
  </si>
  <si>
    <t>comment</t>
  </si>
  <si>
    <t>Има релевантни chunks, но контекстът е кратък.</t>
  </si>
  <si>
    <t>Пропуска част от инструментите.</t>
  </si>
  <si>
    <t>OCR разпознава сумата, но контекстът е раздробен.</t>
  </si>
  <si>
    <t>Описание правилно, но непълно.</t>
  </si>
  <si>
    <t>Какъв е основният извод?</t>
  </si>
  <si>
    <t>Липсва достатъчно контекст.</t>
  </si>
  <si>
    <t>Най-добър баланс между контекст и точност.</t>
  </si>
  <si>
    <t>Връща всички основни tools.</t>
  </si>
  <si>
    <t>Успешно извличане на важни стойности.</t>
  </si>
  <si>
    <t>Vision описание + структура.</t>
  </si>
  <si>
    <t>Пълен и точен отговор.</t>
  </si>
  <si>
    <t>Намира отговора, но добавя шум.</t>
  </si>
  <si>
    <t>Прекалено много контекст.</t>
  </si>
  <si>
    <t>Верен резултат, но по-бавно.</t>
  </si>
  <si>
    <t>Коректно, но по-дълъг отговор.</t>
  </si>
  <si>
    <t>Появяват се странични детайли.</t>
  </si>
  <si>
    <t>tool_success_rate</t>
  </si>
  <si>
    <t>avg_human_score</t>
  </si>
  <si>
    <t>avg_response_time</t>
  </si>
  <si>
    <t>interpretation</t>
  </si>
  <si>
    <t>Underfitting: малко контекст, непълни отговори.</t>
  </si>
  <si>
    <t>Най-добър баланс: добра точност и умерено време.</t>
  </si>
  <si>
    <t>Документ представлява заявление за плащане на сметка. В него се включват цифрът на document_id и названието и описaniето на document_type.
Сумата, заплащена на заявлението е 42,50 БГN.</t>
  </si>
  <si>
    <t>Overfitting: висок recall, но повече шум и по-бавно.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</si>
</sst>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Precision@k</c:v>
          </c:tx>
          <c:invertIfNegative val="1"/>
          <c:cat>
            <c:strRef>
              <c:f>'Config Comparison'!$A$2:$A$4</c:f>
              <c:strCache>
                <c:ptCount val="3"/>
                <c:pt idx="0">
                  <c:v>A_under_context</c:v>
                </c:pt>
                <c:pt idx="1">
                  <c:v>B_balanced</c:v>
                </c:pt>
                <c:pt idx="2">
                  <c:v>C_noisy_context</c:v>
                </c:pt>
              </c:strCache>
            </c:strRef>
          </c:cat>
          <c:val>
            <c:numRef>
              <c:f>'Config Comparison'!$D$2:$D$4</c:f>
              <c:numCache>
                <c:formatCode>0.00</c:formatCode>
                <c:ptCount val="3"/>
                <c:pt idx="0">
                  <c:v>0.53</c:v>
                </c:pt>
                <c:pt idx="1">
                  <c:v>0.93</c:v>
                </c:pt>
                <c:pt idx="2">
                  <c:v>0.68</c:v>
                </c:pt>
              </c:numCache>
            </c:numRef>
          </c:val>
        </c:ser>
        <c:ser>
          <c:idx val="1"/>
          <c:order val="1"/>
          <c:tx>
            <c:v>Recall@k</c:v>
          </c:tx>
          <c:invertIfNegative val="1"/>
          <c:cat>
            <c:strRef>
              <c:f>'Config Comparison'!$A$2:$A$4</c:f>
              <c:strCache>
                <c:ptCount val="3"/>
                <c:pt idx="0">
                  <c:v>A_under_context</c:v>
                </c:pt>
                <c:pt idx="1">
                  <c:v>B_balanced</c:v>
                </c:pt>
                <c:pt idx="2">
                  <c:v>C_noisy_context</c:v>
                </c:pt>
              </c:strCache>
            </c:strRef>
          </c:cat>
          <c:val>
            <c:numRef>
              <c:f>'Config Comparison'!$E$2:$E$4</c:f>
              <c:numCache>
                <c:formatCode>0.00</c:formatCode>
                <c:ptCount val="3"/>
                <c:pt idx="0">
                  <c:v>0.53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03656560"/>
        <c:axId val="-1503658192"/>
      </c:barChart>
      <c:catAx>
        <c:axId val="-150365656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503658192"/>
        <c:crosses val="autoZero"/>
        <c:auto val="1"/>
        <c:lblAlgn val="ctr"/>
        <c:lblOffset val="100"/>
        <c:noMultiLvlLbl val="0"/>
      </c:catAx>
      <c:valAx>
        <c:axId val="-150365819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-150365656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estPlan" displayName="TestPlan" ref="A1:F6">
  <tableColumns count="6">
    <tableColumn id="1" name="id"/>
    <tableColumn id="2" name="file"/>
    <tableColumn id="3" name="query"/>
    <tableColumn id="4" name="expected_tool"/>
    <tableColumn id="5" name="expected_result"/>
    <tableColumn id="6" name="relevant_chunks_total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N16">
  <tableColumns count="14">
    <tableColumn id="1" name="test_id"/>
    <tableColumn id="2" name="config"/>
    <tableColumn id="3" name="file"/>
    <tableColumn id="4" name="query"/>
    <tableColumn id="5" name="expected_tool"/>
    <tableColumn id="6" name="actual_tool"/>
    <tableColumn id="7" name="chunk_size"/>
    <tableColumn id="8" name="top_k"/>
    <tableColumn id="9" name="precision_at_k"/>
    <tableColumn id="10" name="recall_at_k"/>
    <tableColumn id="11" name="tool_success"/>
    <tableColumn id="12" name="human_score_1_5"/>
    <tableColumn id="13" name="response_time_sec"/>
    <tableColumn id="14" name="comment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ConfigSummary" displayName="ConfigSummary" ref="A1:I4">
  <tableColumns count="9">
    <tableColumn id="1" name="config"/>
    <tableColumn id="2" name="chunk_size"/>
    <tableColumn id="3" name="top_k"/>
    <tableColumn id="4" name="avg_precision"/>
    <tableColumn id="5" name="avg_recall"/>
    <tableColumn id="6" name="tool_success_rate"/>
    <tableColumn id="7" name="avg_human_score"/>
    <tableColumn id="8" name="avg_response_time"/>
    <tableColumn id="9" name="interpretation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6" sqref="C6"/>
    </sheetView>
  </sheetViews>
  <sheetFormatPr defaultRowHeight="14.25"/>
  <cols>
    <col min="1" max="1" width="2.375" customWidth="1"/>
    <col min="2" max="2" width="15.5" customWidth="1"/>
    <col min="3" max="3" width="41.25" customWidth="1"/>
    <col min="4" max="4" width="20" customWidth="1"/>
    <col min="5" max="5" width="45" customWidth="1"/>
    <col min="6" max="6" width="17.5" customWidth="1"/>
  </cols>
  <sheetData>
    <row r="1" spans="1:6" ht="30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ht="28.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</row>
    <row r="3" spans="1:6" ht="28.5">
      <c r="A3" s="3" t="s">
        <v>19</v>
      </c>
      <c r="B3" s="3" t="s">
        <v>14</v>
      </c>
      <c r="C3" s="3" t="s">
        <v>20</v>
      </c>
      <c r="D3" s="3" t="s">
        <v>16</v>
      </c>
      <c r="E3" s="3" t="s">
        <v>21</v>
      </c>
      <c r="F3" s="3" t="s">
        <v>22</v>
      </c>
    </row>
    <row r="4" spans="1:6" ht="85.5">
      <c r="A4" s="3" t="s">
        <v>23</v>
      </c>
      <c r="B4" s="3" t="s">
        <v>24</v>
      </c>
      <c r="C4" s="3" t="s">
        <v>25</v>
      </c>
      <c r="D4" s="3" t="s">
        <v>26</v>
      </c>
      <c r="E4" s="3" t="s">
        <v>67</v>
      </c>
      <c r="F4" s="3" t="s">
        <v>27</v>
      </c>
    </row>
    <row r="5" spans="1:6" ht="28.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27</v>
      </c>
    </row>
    <row r="6" spans="1:6" ht="28.5">
      <c r="A6" s="3" t="s">
        <v>33</v>
      </c>
      <c r="B6" s="3" t="s">
        <v>14</v>
      </c>
      <c r="C6" s="3" t="s">
        <v>34</v>
      </c>
      <c r="D6" s="3" t="s">
        <v>16</v>
      </c>
      <c r="E6" s="3" t="s">
        <v>35</v>
      </c>
      <c r="F6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topLeftCell="D4" workbookViewId="0">
      <selection activeCell="D16" sqref="D16"/>
    </sheetView>
  </sheetViews>
  <sheetFormatPr defaultRowHeight="14.25"/>
  <cols>
    <col min="1" max="1" width="5.75" customWidth="1"/>
    <col min="2" max="2" width="13.5" customWidth="1"/>
    <col min="3" max="3" width="15.5" customWidth="1"/>
    <col min="4" max="4" width="36" customWidth="1"/>
    <col min="5" max="5" width="11.375" customWidth="1"/>
    <col min="6" max="6" width="11" customWidth="1"/>
    <col min="7" max="7" width="8.875" customWidth="1"/>
    <col min="8" max="8" width="5" customWidth="1"/>
    <col min="9" max="9" width="11.625" customWidth="1"/>
    <col min="10" max="10" width="8.875" customWidth="1"/>
    <col min="11" max="11" width="10.125" customWidth="1"/>
    <col min="12" max="12" width="14.5" customWidth="1"/>
    <col min="13" max="13" width="15.125" customWidth="1"/>
    <col min="14" max="14" width="42" customWidth="1"/>
  </cols>
  <sheetData>
    <row r="1" spans="1:14" ht="30">
      <c r="A1" s="2" t="s">
        <v>36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</v>
      </c>
      <c r="L1" s="2" t="s">
        <v>42</v>
      </c>
      <c r="M1" s="2" t="s">
        <v>43</v>
      </c>
      <c r="N1" s="2" t="s">
        <v>44</v>
      </c>
    </row>
    <row r="2" spans="1:14" ht="28.5">
      <c r="A2" s="3" t="s">
        <v>13</v>
      </c>
      <c r="B2" s="3" t="s">
        <v>5</v>
      </c>
      <c r="C2" s="3" t="s">
        <v>14</v>
      </c>
      <c r="D2" s="3" t="s">
        <v>15</v>
      </c>
      <c r="E2" s="3" t="s">
        <v>16</v>
      </c>
      <c r="F2" s="3" t="s">
        <v>16</v>
      </c>
      <c r="G2" s="3">
        <v>250</v>
      </c>
      <c r="H2" s="3">
        <v>3</v>
      </c>
      <c r="I2" s="4">
        <v>0.67</v>
      </c>
      <c r="J2" s="4">
        <v>0.5</v>
      </c>
      <c r="K2" s="3">
        <v>1</v>
      </c>
      <c r="L2" s="3">
        <v>4</v>
      </c>
      <c r="M2" s="5">
        <v>10.8</v>
      </c>
      <c r="N2" s="3" t="s">
        <v>45</v>
      </c>
    </row>
    <row r="3" spans="1:14" ht="28.5">
      <c r="A3" s="3" t="s">
        <v>19</v>
      </c>
      <c r="B3" s="3" t="s">
        <v>5</v>
      </c>
      <c r="C3" s="3" t="s">
        <v>14</v>
      </c>
      <c r="D3" s="3" t="s">
        <v>20</v>
      </c>
      <c r="E3" s="3" t="s">
        <v>16</v>
      </c>
      <c r="F3" s="3" t="s">
        <v>16</v>
      </c>
      <c r="G3" s="3">
        <v>250</v>
      </c>
      <c r="H3" s="3">
        <v>3</v>
      </c>
      <c r="I3" s="4">
        <v>0.33</v>
      </c>
      <c r="J3" s="4">
        <v>0.33</v>
      </c>
      <c r="K3" s="3">
        <v>1</v>
      </c>
      <c r="L3" s="3">
        <v>3</v>
      </c>
      <c r="M3" s="5">
        <v>11.2</v>
      </c>
      <c r="N3" s="3" t="s">
        <v>46</v>
      </c>
    </row>
    <row r="4" spans="1:14" ht="28.5">
      <c r="A4" s="3" t="s">
        <v>23</v>
      </c>
      <c r="B4" s="3" t="s">
        <v>5</v>
      </c>
      <c r="C4" s="3" t="s">
        <v>24</v>
      </c>
      <c r="D4" s="3" t="s">
        <v>25</v>
      </c>
      <c r="E4" s="3" t="s">
        <v>26</v>
      </c>
      <c r="F4" s="3" t="s">
        <v>26</v>
      </c>
      <c r="G4" s="3">
        <v>250</v>
      </c>
      <c r="H4" s="3">
        <v>3</v>
      </c>
      <c r="I4" s="4">
        <v>0.67</v>
      </c>
      <c r="J4" s="4">
        <v>0.67</v>
      </c>
      <c r="K4" s="3">
        <v>1</v>
      </c>
      <c r="L4" s="3">
        <v>4</v>
      </c>
      <c r="M4" s="5">
        <v>15.9</v>
      </c>
      <c r="N4" s="3" t="s">
        <v>47</v>
      </c>
    </row>
    <row r="5" spans="1:14" ht="28.5">
      <c r="A5" s="3" t="s">
        <v>28</v>
      </c>
      <c r="B5" s="3" t="s">
        <v>5</v>
      </c>
      <c r="C5" s="3" t="s">
        <v>29</v>
      </c>
      <c r="D5" s="3" t="s">
        <v>30</v>
      </c>
      <c r="E5" s="3" t="s">
        <v>31</v>
      </c>
      <c r="F5" s="3" t="s">
        <v>31</v>
      </c>
      <c r="G5" s="3">
        <v>250</v>
      </c>
      <c r="H5" s="3">
        <v>3</v>
      </c>
      <c r="I5" s="4">
        <v>0.67</v>
      </c>
      <c r="J5" s="4">
        <v>0.67</v>
      </c>
      <c r="K5" s="3">
        <v>1</v>
      </c>
      <c r="L5" s="3">
        <v>4</v>
      </c>
      <c r="M5" s="5">
        <v>14.5</v>
      </c>
      <c r="N5" s="3" t="s">
        <v>48</v>
      </c>
    </row>
    <row r="6" spans="1:14" ht="28.5">
      <c r="A6" s="3" t="s">
        <v>33</v>
      </c>
      <c r="B6" s="3" t="s">
        <v>5</v>
      </c>
      <c r="C6" s="3" t="s">
        <v>14</v>
      </c>
      <c r="D6" s="3" t="s">
        <v>49</v>
      </c>
      <c r="E6" s="3" t="s">
        <v>16</v>
      </c>
      <c r="F6" s="3" t="s">
        <v>16</v>
      </c>
      <c r="G6" s="3">
        <v>250</v>
      </c>
      <c r="H6" s="3">
        <v>3</v>
      </c>
      <c r="I6" s="4">
        <v>0.33</v>
      </c>
      <c r="J6" s="4">
        <v>0.5</v>
      </c>
      <c r="K6" s="3">
        <v>1</v>
      </c>
      <c r="L6" s="3">
        <v>3</v>
      </c>
      <c r="M6" s="5">
        <v>11</v>
      </c>
      <c r="N6" s="3" t="s">
        <v>50</v>
      </c>
    </row>
    <row r="7" spans="1:14" ht="28.5">
      <c r="A7" s="3" t="s">
        <v>13</v>
      </c>
      <c r="B7" s="3" t="s">
        <v>0</v>
      </c>
      <c r="C7" s="3" t="s">
        <v>14</v>
      </c>
      <c r="D7" s="3" t="s">
        <v>15</v>
      </c>
      <c r="E7" s="3" t="s">
        <v>16</v>
      </c>
      <c r="F7" s="3" t="s">
        <v>16</v>
      </c>
      <c r="G7" s="3">
        <v>800</v>
      </c>
      <c r="H7" s="3">
        <v>3</v>
      </c>
      <c r="I7" s="4">
        <v>1</v>
      </c>
      <c r="J7" s="4">
        <v>1</v>
      </c>
      <c r="K7" s="3">
        <v>1</v>
      </c>
      <c r="L7" s="3">
        <v>5</v>
      </c>
      <c r="M7" s="5">
        <v>13.8</v>
      </c>
      <c r="N7" s="3" t="s">
        <v>51</v>
      </c>
    </row>
    <row r="8" spans="1:14" ht="28.5">
      <c r="A8" s="3" t="s">
        <v>19</v>
      </c>
      <c r="B8" s="3" t="s">
        <v>0</v>
      </c>
      <c r="C8" s="3" t="s">
        <v>14</v>
      </c>
      <c r="D8" s="3" t="s">
        <v>20</v>
      </c>
      <c r="E8" s="3" t="s">
        <v>16</v>
      </c>
      <c r="F8" s="3" t="s">
        <v>16</v>
      </c>
      <c r="G8" s="3">
        <v>800</v>
      </c>
      <c r="H8" s="3">
        <v>3</v>
      </c>
      <c r="I8" s="4">
        <v>1</v>
      </c>
      <c r="J8" s="4">
        <v>1</v>
      </c>
      <c r="K8" s="3">
        <v>1</v>
      </c>
      <c r="L8" s="3">
        <v>5</v>
      </c>
      <c r="M8" s="5">
        <v>14.1</v>
      </c>
      <c r="N8" s="3" t="s">
        <v>52</v>
      </c>
    </row>
    <row r="9" spans="1:14" ht="28.5">
      <c r="A9" s="3" t="s">
        <v>23</v>
      </c>
      <c r="B9" s="3" t="s">
        <v>0</v>
      </c>
      <c r="C9" s="3" t="s">
        <v>24</v>
      </c>
      <c r="D9" s="3" t="s">
        <v>25</v>
      </c>
      <c r="E9" s="3" t="s">
        <v>26</v>
      </c>
      <c r="F9" s="3" t="s">
        <v>26</v>
      </c>
      <c r="G9" s="3">
        <v>800</v>
      </c>
      <c r="H9" s="3">
        <v>3</v>
      </c>
      <c r="I9" s="4">
        <v>1</v>
      </c>
      <c r="J9" s="4">
        <v>1</v>
      </c>
      <c r="K9" s="3">
        <v>1</v>
      </c>
      <c r="L9" s="3">
        <v>5</v>
      </c>
      <c r="M9" s="5">
        <v>18.600000000000001</v>
      </c>
      <c r="N9" s="3" t="s">
        <v>53</v>
      </c>
    </row>
    <row r="10" spans="1:14">
      <c r="A10" s="3" t="s">
        <v>28</v>
      </c>
      <c r="B10" s="3" t="s">
        <v>0</v>
      </c>
      <c r="C10" s="3" t="s">
        <v>29</v>
      </c>
      <c r="D10" s="3" t="s">
        <v>30</v>
      </c>
      <c r="E10" s="3" t="s">
        <v>31</v>
      </c>
      <c r="F10" s="3" t="s">
        <v>31</v>
      </c>
      <c r="G10" s="3">
        <v>800</v>
      </c>
      <c r="H10" s="3">
        <v>3</v>
      </c>
      <c r="I10" s="4">
        <v>1</v>
      </c>
      <c r="J10" s="4">
        <v>1</v>
      </c>
      <c r="K10" s="3">
        <v>1</v>
      </c>
      <c r="L10" s="3">
        <v>5</v>
      </c>
      <c r="M10" s="5">
        <v>17.2</v>
      </c>
      <c r="N10" s="3" t="s">
        <v>54</v>
      </c>
    </row>
    <row r="11" spans="1:14" ht="28.5">
      <c r="A11" s="3" t="s">
        <v>33</v>
      </c>
      <c r="B11" s="3" t="s">
        <v>0</v>
      </c>
      <c r="C11" s="3" t="s">
        <v>14</v>
      </c>
      <c r="D11" s="3" t="s">
        <v>49</v>
      </c>
      <c r="E11" s="3" t="s">
        <v>16</v>
      </c>
      <c r="F11" s="3" t="s">
        <v>16</v>
      </c>
      <c r="G11" s="3">
        <v>800</v>
      </c>
      <c r="H11" s="3">
        <v>3</v>
      </c>
      <c r="I11" s="4">
        <v>0.67</v>
      </c>
      <c r="J11" s="4">
        <v>1</v>
      </c>
      <c r="K11" s="3">
        <v>1</v>
      </c>
      <c r="L11" s="3">
        <v>5</v>
      </c>
      <c r="M11" s="5">
        <v>14.3</v>
      </c>
      <c r="N11" s="3" t="s">
        <v>55</v>
      </c>
    </row>
    <row r="12" spans="1:14" ht="28.5">
      <c r="A12" s="3" t="s">
        <v>13</v>
      </c>
      <c r="B12" s="3" t="s">
        <v>6</v>
      </c>
      <c r="C12" s="3" t="s">
        <v>14</v>
      </c>
      <c r="D12" s="3" t="s">
        <v>15</v>
      </c>
      <c r="E12" s="3" t="s">
        <v>16</v>
      </c>
      <c r="F12" s="3" t="s">
        <v>16</v>
      </c>
      <c r="G12" s="3">
        <v>1600</v>
      </c>
      <c r="H12" s="3">
        <v>5</v>
      </c>
      <c r="I12" s="4">
        <v>0.6</v>
      </c>
      <c r="J12" s="4">
        <v>1</v>
      </c>
      <c r="K12" s="3">
        <v>1</v>
      </c>
      <c r="L12" s="3">
        <v>4</v>
      </c>
      <c r="M12" s="5">
        <v>20.8</v>
      </c>
      <c r="N12" s="3" t="s">
        <v>56</v>
      </c>
    </row>
    <row r="13" spans="1:14" ht="28.5">
      <c r="A13" s="3" t="s">
        <v>19</v>
      </c>
      <c r="B13" s="3" t="s">
        <v>6</v>
      </c>
      <c r="C13" s="3" t="s">
        <v>14</v>
      </c>
      <c r="D13" s="3" t="s">
        <v>20</v>
      </c>
      <c r="E13" s="3" t="s">
        <v>16</v>
      </c>
      <c r="F13" s="3" t="s">
        <v>16</v>
      </c>
      <c r="G13" s="3">
        <v>1600</v>
      </c>
      <c r="H13" s="3">
        <v>5</v>
      </c>
      <c r="I13" s="4">
        <v>0.6</v>
      </c>
      <c r="J13" s="4">
        <v>1</v>
      </c>
      <c r="K13" s="3">
        <v>1</v>
      </c>
      <c r="L13" s="3">
        <v>4</v>
      </c>
      <c r="M13" s="5">
        <v>21.4</v>
      </c>
      <c r="N13" s="3" t="s">
        <v>57</v>
      </c>
    </row>
    <row r="14" spans="1:14" ht="28.5">
      <c r="A14" s="3" t="s">
        <v>23</v>
      </c>
      <c r="B14" s="3" t="s">
        <v>6</v>
      </c>
      <c r="C14" s="3" t="s">
        <v>24</v>
      </c>
      <c r="D14" s="3" t="s">
        <v>25</v>
      </c>
      <c r="E14" s="3" t="s">
        <v>26</v>
      </c>
      <c r="F14" s="3" t="s">
        <v>26</v>
      </c>
      <c r="G14" s="3">
        <v>1600</v>
      </c>
      <c r="H14" s="3">
        <v>5</v>
      </c>
      <c r="I14" s="4">
        <v>0.8</v>
      </c>
      <c r="J14" s="4">
        <v>1</v>
      </c>
      <c r="K14" s="3">
        <v>1</v>
      </c>
      <c r="L14" s="3">
        <v>4</v>
      </c>
      <c r="M14" s="5">
        <v>24.7</v>
      </c>
      <c r="N14" s="3" t="s">
        <v>58</v>
      </c>
    </row>
    <row r="15" spans="1:14" ht="28.5">
      <c r="A15" s="3" t="s">
        <v>28</v>
      </c>
      <c r="B15" s="3" t="s">
        <v>6</v>
      </c>
      <c r="C15" s="3" t="s">
        <v>29</v>
      </c>
      <c r="D15" s="3" t="s">
        <v>30</v>
      </c>
      <c r="E15" s="3" t="s">
        <v>31</v>
      </c>
      <c r="F15" s="3" t="s">
        <v>31</v>
      </c>
      <c r="G15" s="3">
        <v>1600</v>
      </c>
      <c r="H15" s="3">
        <v>5</v>
      </c>
      <c r="I15" s="4">
        <v>0.8</v>
      </c>
      <c r="J15" s="4">
        <v>1</v>
      </c>
      <c r="K15" s="3">
        <v>1</v>
      </c>
      <c r="L15" s="3">
        <v>4</v>
      </c>
      <c r="M15" s="5">
        <v>22.9</v>
      </c>
      <c r="N15" s="3" t="s">
        <v>59</v>
      </c>
    </row>
    <row r="16" spans="1:14" ht="28.5">
      <c r="A16" s="3" t="s">
        <v>33</v>
      </c>
      <c r="B16" s="3" t="s">
        <v>6</v>
      </c>
      <c r="C16" s="3" t="s">
        <v>14</v>
      </c>
      <c r="D16" s="3" t="s">
        <v>49</v>
      </c>
      <c r="E16" s="3" t="s">
        <v>16</v>
      </c>
      <c r="F16" s="3" t="s">
        <v>16</v>
      </c>
      <c r="G16" s="3">
        <v>1600</v>
      </c>
      <c r="H16" s="3">
        <v>5</v>
      </c>
      <c r="I16" s="4">
        <v>0.6</v>
      </c>
      <c r="J16" s="4">
        <v>1</v>
      </c>
      <c r="K16" s="3">
        <v>1</v>
      </c>
      <c r="L16" s="3">
        <v>4</v>
      </c>
      <c r="M16" s="5">
        <v>21.7</v>
      </c>
      <c r="N16" s="3" t="s">
        <v>60</v>
      </c>
    </row>
  </sheetData>
  <conditionalFormatting sqref="I2:I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6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16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1" sqref="B1"/>
    </sheetView>
  </sheetViews>
  <sheetFormatPr defaultRowHeight="14.25"/>
  <cols>
    <col min="1" max="1" width="13.5" customWidth="1"/>
    <col min="2" max="2" width="8.875" customWidth="1"/>
    <col min="3" max="3" width="5" customWidth="1"/>
    <col min="4" max="4" width="11" customWidth="1"/>
    <col min="5" max="5" width="8.125" customWidth="1"/>
    <col min="6" max="6" width="14.125" customWidth="1"/>
    <col min="7" max="7" width="14.375" customWidth="1"/>
    <col min="8" max="8" width="15.375" customWidth="1"/>
    <col min="9" max="9" width="48" customWidth="1"/>
  </cols>
  <sheetData>
    <row r="1" spans="1:9" ht="15">
      <c r="A1" s="1" t="s">
        <v>1</v>
      </c>
      <c r="B1" s="1" t="s">
        <v>38</v>
      </c>
      <c r="C1" s="1" t="s">
        <v>39</v>
      </c>
      <c r="D1" s="1" t="s">
        <v>2</v>
      </c>
      <c r="E1" s="1" t="s">
        <v>3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>
      <c r="A2" t="s">
        <v>5</v>
      </c>
      <c r="B2">
        <v>200</v>
      </c>
      <c r="C2">
        <v>3</v>
      </c>
      <c r="D2" s="6">
        <v>0.53</v>
      </c>
      <c r="E2" s="6">
        <v>0.53</v>
      </c>
      <c r="F2" s="6">
        <v>1</v>
      </c>
      <c r="G2" s="6">
        <v>3.6</v>
      </c>
      <c r="H2" s="6">
        <v>12.7</v>
      </c>
      <c r="I2" t="s">
        <v>65</v>
      </c>
    </row>
    <row r="3" spans="1:9">
      <c r="A3" t="s">
        <v>0</v>
      </c>
      <c r="B3">
        <v>800</v>
      </c>
      <c r="C3">
        <v>3</v>
      </c>
      <c r="D3" s="6">
        <v>0.93</v>
      </c>
      <c r="E3" s="6">
        <v>1</v>
      </c>
      <c r="F3" s="6">
        <v>1</v>
      </c>
      <c r="G3" s="6">
        <v>5</v>
      </c>
      <c r="H3" s="6">
        <v>15.6</v>
      </c>
      <c r="I3" t="s">
        <v>66</v>
      </c>
    </row>
    <row r="4" spans="1:9">
      <c r="A4" t="s">
        <v>6</v>
      </c>
      <c r="B4">
        <v>1600</v>
      </c>
      <c r="C4">
        <v>5</v>
      </c>
      <c r="D4" s="6">
        <v>0.68</v>
      </c>
      <c r="E4" s="6">
        <v>1</v>
      </c>
      <c r="F4" s="6">
        <v>1</v>
      </c>
      <c r="G4" s="6">
        <v>4</v>
      </c>
      <c r="H4" s="6">
        <v>22.3</v>
      </c>
      <c r="I4" t="s">
        <v>68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Results</vt:lpstr>
      <vt:lpstr>Config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ASUSTUF</cp:lastModifiedBy>
  <dcterms:modified xsi:type="dcterms:W3CDTF">2026-07-02T13:11:47Z</dcterms:modified>
</cp:coreProperties>
</file>